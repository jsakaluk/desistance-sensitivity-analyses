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uwoca-my.sharepoint.com/personal/jsakaluk_uwo_ca/Documents/Research/Syntheses/Persistence_Desistence/Desistance Quarto/"/>
    </mc:Choice>
  </mc:AlternateContent>
  <xr:revisionPtr revIDLastSave="2" documentId="8_{577BC93F-9BEA-DA47-9994-B6308CACFCA5}" xr6:coauthVersionLast="47" xr6:coauthVersionMax="47" xr10:uidLastSave="{288C07AA-2FB7-F140-8F6B-5CA7BFA24231}"/>
  <bookViews>
    <workbookView xWindow="0" yWindow="660" windowWidth="34560" windowHeight="21680" xr2:uid="{00000000-000D-0000-FFFF-FFFF00000000}"/>
  </bookViews>
  <sheets>
    <sheet name="Fin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J16" i="3"/>
  <c r="I16" i="3"/>
  <c r="H16" i="3"/>
  <c r="G16" i="3"/>
  <c r="I15" i="3"/>
  <c r="J14" i="3"/>
  <c r="I14" i="3"/>
  <c r="H14" i="3"/>
  <c r="G14" i="3"/>
  <c r="I13" i="3"/>
  <c r="F12" i="3"/>
  <c r="G12" i="3" s="1"/>
  <c r="F11" i="3"/>
  <c r="E11" i="3"/>
  <c r="I11" i="3" s="1"/>
  <c r="I10" i="3"/>
  <c r="G10" i="3"/>
  <c r="I9" i="3"/>
  <c r="G9" i="3"/>
  <c r="F7" i="3"/>
  <c r="I7" i="3" s="1"/>
  <c r="J5" i="3"/>
  <c r="I5" i="3"/>
  <c r="G5" i="3"/>
  <c r="I2" i="3"/>
  <c r="G2" i="3"/>
  <c r="G11" i="3" l="1"/>
  <c r="G7" i="3"/>
</calcChain>
</file>

<file path=xl/sharedStrings.xml><?xml version="1.0" encoding="utf-8"?>
<sst xmlns="http://schemas.openxmlformats.org/spreadsheetml/2006/main" count="42" uniqueCount="27">
  <si>
    <t>Num</t>
  </si>
  <si>
    <t>Authors</t>
  </si>
  <si>
    <t>Year</t>
  </si>
  <si>
    <t>Total_ITT</t>
  </si>
  <si>
    <t>Total_Complete</t>
  </si>
  <si>
    <t>Persist_LOCF</t>
  </si>
  <si>
    <t>Persist_NEF</t>
  </si>
  <si>
    <t>Desist_NEF</t>
  </si>
  <si>
    <t>Desist_LOCF</t>
  </si>
  <si>
    <t>Lebovitz</t>
  </si>
  <si>
    <t>Zuger</t>
  </si>
  <si>
    <t>Money &amp; Russo</t>
  </si>
  <si>
    <t>Davenport</t>
  </si>
  <si>
    <t>Green</t>
  </si>
  <si>
    <t>Kosky</t>
  </si>
  <si>
    <t>Wallien et al.</t>
  </si>
  <si>
    <t>Drummond et al.</t>
  </si>
  <si>
    <t>Singh</t>
  </si>
  <si>
    <t>Steensma et al.</t>
  </si>
  <si>
    <t xml:space="preserve">Olson et al. </t>
  </si>
  <si>
    <t>van der Loos et al.</t>
  </si>
  <si>
    <t>Nieder et al.</t>
  </si>
  <si>
    <t>Hall et al.</t>
  </si>
  <si>
    <t>Roberts et al.</t>
  </si>
  <si>
    <t>In_Cantor2020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</si>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</sst>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7"/>
  <sheetViews>
    <sheetView tabSelected="1" workbookViewId="0">
      <selection activeCell="G22" sqref="G22"/>
    </sheetView>
  </sheetViews>
  <sheetFormatPr baseColWidth="10" defaultColWidth="12.6640625" defaultRowHeight="15.75" customHeight="1" x14ac:dyDescent="0.15"/>
  <cols>
    <col min="7" max="9" width="22.5" customWidth="1"/>
    <col min="10" max="10" width="18.1640625" customWidth="1"/>
  </cols>
  <sheetData>
    <row r="1" spans="1:18" ht="13" x14ac:dyDescent="0.1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8" ht="101.25" customHeight="1" x14ac:dyDescent="0.15">
      <c r="A2" s="2">
        <v>1</v>
      </c>
      <c r="B2" s="2" t="s">
        <v>9</v>
      </c>
      <c r="C2" s="2">
        <v>1972</v>
      </c>
      <c r="D2" s="2" t="s">
        <v>25</v>
      </c>
      <c r="E2" s="2">
        <v>36</v>
      </c>
      <c r="F2" s="2">
        <v>16</v>
      </c>
      <c r="G2" s="2">
        <f>4+(E2-F2)</f>
        <v>24</v>
      </c>
      <c r="H2" s="2">
        <v>4</v>
      </c>
      <c r="I2" s="2">
        <f>12+(E2-F2)</f>
        <v>32</v>
      </c>
      <c r="J2" s="2">
        <v>12</v>
      </c>
    </row>
    <row r="3" spans="1:18" ht="13" x14ac:dyDescent="0.15">
      <c r="A3" s="2">
        <v>2</v>
      </c>
      <c r="B3" s="2" t="s">
        <v>10</v>
      </c>
      <c r="C3" s="2">
        <v>1978</v>
      </c>
      <c r="D3" s="2" t="s">
        <v>25</v>
      </c>
      <c r="E3" s="2">
        <v>16</v>
      </c>
      <c r="F3" s="2">
        <v>16</v>
      </c>
      <c r="G3" s="2">
        <v>2</v>
      </c>
      <c r="H3" s="2">
        <v>2</v>
      </c>
      <c r="I3" s="2">
        <v>14</v>
      </c>
      <c r="J3" s="2">
        <v>14</v>
      </c>
    </row>
    <row r="4" spans="1:18" ht="81.75" customHeight="1" x14ac:dyDescent="0.15">
      <c r="A4" s="2">
        <v>3</v>
      </c>
      <c r="B4" s="2" t="s">
        <v>11</v>
      </c>
      <c r="C4" s="2">
        <v>1979</v>
      </c>
      <c r="D4" s="2" t="s">
        <v>25</v>
      </c>
      <c r="E4" s="2">
        <v>11</v>
      </c>
      <c r="F4" s="2">
        <v>5</v>
      </c>
      <c r="G4" s="2">
        <v>0</v>
      </c>
      <c r="H4" s="2">
        <v>0</v>
      </c>
      <c r="I4" s="2">
        <v>11</v>
      </c>
      <c r="J4" s="2">
        <v>5</v>
      </c>
    </row>
    <row r="5" spans="1:18" ht="13" x14ac:dyDescent="0.15">
      <c r="A5" s="2">
        <v>4</v>
      </c>
      <c r="B5" s="2" t="s">
        <v>10</v>
      </c>
      <c r="C5" s="2">
        <v>1984</v>
      </c>
      <c r="D5" s="2" t="s">
        <v>25</v>
      </c>
      <c r="E5" s="2">
        <v>55</v>
      </c>
      <c r="F5" s="2">
        <v>38</v>
      </c>
      <c r="G5" s="2">
        <f>2+7</f>
        <v>9</v>
      </c>
      <c r="H5" s="2">
        <v>2</v>
      </c>
      <c r="I5" s="2">
        <f>E5-10</f>
        <v>45</v>
      </c>
      <c r="J5" s="2">
        <f>F5-10-2</f>
        <v>26</v>
      </c>
    </row>
    <row r="6" spans="1:18" ht="13" x14ac:dyDescent="0.15">
      <c r="A6" s="2">
        <v>5</v>
      </c>
      <c r="B6" s="2" t="s">
        <v>12</v>
      </c>
      <c r="C6" s="2">
        <v>1986</v>
      </c>
      <c r="D6" s="2" t="s">
        <v>25</v>
      </c>
      <c r="E6" s="2">
        <v>10</v>
      </c>
      <c r="F6" s="2">
        <v>10</v>
      </c>
      <c r="G6" s="2">
        <v>1</v>
      </c>
      <c r="H6" s="2">
        <v>1</v>
      </c>
      <c r="I6" s="2">
        <v>6</v>
      </c>
      <c r="J6" s="2">
        <v>6</v>
      </c>
    </row>
    <row r="7" spans="1:18" ht="13" x14ac:dyDescent="0.15">
      <c r="A7" s="2">
        <v>6</v>
      </c>
      <c r="B7" s="2" t="s">
        <v>13</v>
      </c>
      <c r="C7" s="2">
        <v>1987</v>
      </c>
      <c r="D7" s="2" t="s">
        <v>25</v>
      </c>
      <c r="E7" s="2">
        <v>66</v>
      </c>
      <c r="F7" s="2">
        <f>(2/3)*E7</f>
        <v>44</v>
      </c>
      <c r="G7" s="2">
        <f>1+(E7-F7)</f>
        <v>23</v>
      </c>
      <c r="H7" s="2">
        <v>1</v>
      </c>
      <c r="I7" s="2">
        <f>43+(E7-F7)</f>
        <v>65</v>
      </c>
      <c r="J7" s="2">
        <v>43</v>
      </c>
    </row>
    <row r="8" spans="1:18" ht="13" x14ac:dyDescent="0.15">
      <c r="A8" s="2">
        <v>7</v>
      </c>
      <c r="B8" s="2" t="s">
        <v>14</v>
      </c>
      <c r="C8" s="2">
        <v>1987</v>
      </c>
      <c r="D8" s="2" t="s">
        <v>25</v>
      </c>
      <c r="E8" s="2">
        <v>8</v>
      </c>
      <c r="F8" s="2">
        <v>7</v>
      </c>
      <c r="G8" s="2">
        <v>1</v>
      </c>
      <c r="H8" s="2">
        <v>0</v>
      </c>
      <c r="I8" s="2">
        <v>8</v>
      </c>
      <c r="J8" s="2">
        <v>7</v>
      </c>
    </row>
    <row r="9" spans="1:18" ht="13" x14ac:dyDescent="0.15">
      <c r="A9" s="2">
        <v>8</v>
      </c>
      <c r="B9" s="2" t="s">
        <v>15</v>
      </c>
      <c r="C9" s="2">
        <v>2008</v>
      </c>
      <c r="D9" s="2" t="s">
        <v>25</v>
      </c>
      <c r="E9" s="2">
        <v>77</v>
      </c>
      <c r="F9" s="2">
        <v>54</v>
      </c>
      <c r="G9" s="2">
        <f>21+(E9-F9)</f>
        <v>44</v>
      </c>
      <c r="H9" s="2">
        <v>21</v>
      </c>
      <c r="I9" s="2">
        <f>23+(E9-F9)</f>
        <v>46</v>
      </c>
      <c r="J9" s="2">
        <v>23</v>
      </c>
    </row>
    <row r="10" spans="1:18" ht="13" x14ac:dyDescent="0.15">
      <c r="A10" s="2">
        <v>9</v>
      </c>
      <c r="B10" s="2" t="s">
        <v>16</v>
      </c>
      <c r="C10" s="2">
        <v>2008</v>
      </c>
      <c r="D10" s="2" t="s">
        <v>25</v>
      </c>
      <c r="E10" s="2">
        <v>37</v>
      </c>
      <c r="F10" s="2">
        <v>25</v>
      </c>
      <c r="G10" s="2">
        <f>3+(E10-F10)</f>
        <v>15</v>
      </c>
      <c r="H10" s="2">
        <v>3</v>
      </c>
      <c r="I10" s="2">
        <f>22+(E10-F10)</f>
        <v>34</v>
      </c>
      <c r="J10" s="2">
        <v>22</v>
      </c>
    </row>
    <row r="11" spans="1:18" ht="13" x14ac:dyDescent="0.15">
      <c r="A11" s="3">
        <v>10</v>
      </c>
      <c r="B11" s="3" t="s">
        <v>17</v>
      </c>
      <c r="C11" s="3">
        <v>2012</v>
      </c>
      <c r="D11" s="3" t="s">
        <v>25</v>
      </c>
      <c r="E11" s="3">
        <f>132+32</f>
        <v>164</v>
      </c>
      <c r="F11" s="3">
        <f>113+32-6</f>
        <v>139</v>
      </c>
      <c r="G11" s="3">
        <f>17+(E11-F11)</f>
        <v>42</v>
      </c>
      <c r="H11" s="3">
        <v>17</v>
      </c>
      <c r="I11" s="3">
        <f>122+(E11-F11)</f>
        <v>147</v>
      </c>
      <c r="J11" s="3">
        <v>122</v>
      </c>
      <c r="K11" s="3"/>
      <c r="L11" s="3"/>
      <c r="M11" s="3"/>
      <c r="N11" s="3"/>
      <c r="O11" s="3"/>
      <c r="P11" s="3"/>
      <c r="Q11" s="3"/>
      <c r="R11" s="3"/>
    </row>
    <row r="12" spans="1:18" ht="13" x14ac:dyDescent="0.15">
      <c r="A12" s="2">
        <v>11</v>
      </c>
      <c r="B12" s="2" t="s">
        <v>18</v>
      </c>
      <c r="C12" s="2">
        <v>2013</v>
      </c>
      <c r="D12" s="2" t="s">
        <v>25</v>
      </c>
      <c r="E12" s="2">
        <v>127</v>
      </c>
      <c r="F12" s="2">
        <f>47+56</f>
        <v>103</v>
      </c>
      <c r="G12" s="2">
        <f>47+(E12-F12)</f>
        <v>71</v>
      </c>
      <c r="H12" s="2">
        <v>47</v>
      </c>
      <c r="I12" s="2">
        <v>80</v>
      </c>
      <c r="J12" s="2">
        <v>56</v>
      </c>
    </row>
    <row r="13" spans="1:18" ht="13" x14ac:dyDescent="0.15">
      <c r="A13" s="2">
        <v>12</v>
      </c>
      <c r="B13" s="2" t="s">
        <v>19</v>
      </c>
      <c r="C13" s="2">
        <v>2022</v>
      </c>
      <c r="D13" s="2" t="s">
        <v>26</v>
      </c>
      <c r="E13" s="2">
        <v>317</v>
      </c>
      <c r="F13" s="2">
        <v>291</v>
      </c>
      <c r="G13" s="2">
        <v>298</v>
      </c>
      <c r="H13" s="2">
        <v>285</v>
      </c>
      <c r="I13" s="2">
        <f>8+(E13-F13)</f>
        <v>34</v>
      </c>
      <c r="J13" s="2">
        <v>8</v>
      </c>
      <c r="K13" s="2"/>
      <c r="L13" s="2"/>
      <c r="M13" s="2"/>
      <c r="N13" s="2"/>
      <c r="O13" s="2"/>
      <c r="P13" s="2"/>
      <c r="Q13" s="2"/>
      <c r="R13" s="2"/>
    </row>
    <row r="14" spans="1:18" ht="13" x14ac:dyDescent="0.15">
      <c r="A14" s="2">
        <v>13</v>
      </c>
      <c r="B14" s="2" t="s">
        <v>20</v>
      </c>
      <c r="C14" s="2">
        <v>2022</v>
      </c>
      <c r="D14" s="2" t="s">
        <v>26</v>
      </c>
      <c r="E14" s="2">
        <v>720</v>
      </c>
      <c r="F14" s="2">
        <v>715</v>
      </c>
      <c r="G14" s="2">
        <f>667+32+5</f>
        <v>704</v>
      </c>
      <c r="H14" s="2">
        <f>667+32</f>
        <v>699</v>
      </c>
      <c r="I14" s="2">
        <f>16+5</f>
        <v>21</v>
      </c>
      <c r="J14" s="2">
        <f>16</f>
        <v>16</v>
      </c>
    </row>
    <row r="15" spans="1:18" ht="13" x14ac:dyDescent="0.15">
      <c r="A15" s="2">
        <v>14</v>
      </c>
      <c r="B15" s="2" t="s">
        <v>21</v>
      </c>
      <c r="C15" s="2">
        <v>2021</v>
      </c>
      <c r="D15" s="2" t="s">
        <v>26</v>
      </c>
      <c r="E15" s="2">
        <v>204</v>
      </c>
      <c r="F15" s="2">
        <v>75</v>
      </c>
      <c r="G15" s="2">
        <v>204</v>
      </c>
      <c r="H15" s="2">
        <v>75</v>
      </c>
      <c r="I15" s="2">
        <f>E15-F15</f>
        <v>129</v>
      </c>
      <c r="J15" s="2">
        <v>0</v>
      </c>
    </row>
    <row r="16" spans="1:18" ht="13" x14ac:dyDescent="0.15">
      <c r="A16" s="2">
        <v>15</v>
      </c>
      <c r="B16" s="2" t="s">
        <v>22</v>
      </c>
      <c r="C16" s="2">
        <v>2021</v>
      </c>
      <c r="D16" s="2" t="s">
        <v>26</v>
      </c>
      <c r="E16" s="2">
        <v>182</v>
      </c>
      <c r="F16" s="2">
        <v>175</v>
      </c>
      <c r="G16" s="2">
        <f>F16-18+(E16-F16)</f>
        <v>164</v>
      </c>
      <c r="H16" s="2">
        <f>F16-16</f>
        <v>159</v>
      </c>
      <c r="I16" s="2">
        <f>12+(E16-F16)</f>
        <v>19</v>
      </c>
      <c r="J16" s="2">
        <f>12</f>
        <v>12</v>
      </c>
    </row>
    <row r="17" spans="1:10" ht="13" x14ac:dyDescent="0.15">
      <c r="A17" s="2">
        <v>16</v>
      </c>
      <c r="B17" s="2" t="s">
        <v>23</v>
      </c>
      <c r="C17" s="2">
        <v>2022</v>
      </c>
      <c r="D17" s="2" t="s">
        <v>26</v>
      </c>
      <c r="F17" s="2">
        <v>952</v>
      </c>
      <c r="H17" s="2">
        <v>668</v>
      </c>
      <c r="J17" s="2">
        <f>F17-H17</f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Sakaluk</cp:lastModifiedBy>
  <dcterms:created xsi:type="dcterms:W3CDTF">2026-04-14T13:12:52Z</dcterms:created>
  <dcterms:modified xsi:type="dcterms:W3CDTF">2026-04-14T13:18:29Z</dcterms:modified>
</cp:coreProperties>
</file>